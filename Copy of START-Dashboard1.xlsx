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703\Downloads\"/>
    </mc:Choice>
  </mc:AlternateContent>
  <xr:revisionPtr revIDLastSave="0" documentId="13_ncr:1_{3710479C-22F5-4F4C-91E6-D3768B3AD96E}" xr6:coauthVersionLast="47" xr6:coauthVersionMax="47" xr10:uidLastSave="{00000000-0000-0000-0000-000000000000}"/>
  <bookViews>
    <workbookView xWindow="-110" yWindow="-110" windowWidth="19420" windowHeight="10300" xr2:uid="{810B916D-8AC5-B94F-AAD8-02E834047D22}"/>
  </bookViews>
  <sheets>
    <sheet name="Dashboard" sheetId="1" r:id="rId1"/>
    <sheet name="Inputs" sheetId="3" r:id="rId2"/>
    <sheet name="Contact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<sst xmlns="http://schemas.openxmlformats.org/spreadsheetml/2006/main" count="74" uniqueCount="55">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</sst>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£&quot;* #,##0.00_-;\-&quot;£&quot;* #,##0.00_-;_-&quot;£&quot;* &quot;-&quot;??_-;_-@_-"/>
    <numFmt numFmtId="165" formatCode="_-* #,##0.0_-;\-* #,##0.0_-;_-* &quot;-&quot;??_-;_-@_-"/>
    <numFmt numFmtId="166" formatCode="_-[$$-409]* #,##0_ ;_-[$$-409]* \-#,##0\ ;_-[$$-409]* &quot;-&quot;??_ ;_-@_ 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5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6" fontId="0" fillId="0" borderId="0" xfId="1" applyNumberFormat="1" applyFont="1" applyAlignment="1">
      <alignment horizontal="center"/>
    </xf>
    <xf numFmtId="166" fontId="0" fillId="0" borderId="0" xfId="4" applyNumberFormat="1" applyFont="1" applyAlignment="1">
      <alignment horizontal="center"/>
    </xf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EFCB19"/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Customer 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5400" cap="rnd" cmpd="sng" algn="ctr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8-44CE-8983-B7A64234B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830143"/>
        <c:axId val="121831103"/>
      </c:radarChart>
      <c:catAx>
        <c:axId val="12183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4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31103"/>
        <c:crosses val="autoZero"/>
        <c:auto val="1"/>
        <c:lblAlgn val="ctr"/>
        <c:lblOffset val="100"/>
        <c:noMultiLvlLbl val="0"/>
      </c:catAx>
      <c:valAx>
        <c:axId val="12183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30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4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Figures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Inputs!$G$13</c:f>
              <c:strCache>
                <c:ptCount val="1"/>
                <c:pt idx="0">
                  <c:v>Argentina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Inputs!$H$13</c:f>
              <c:numCache>
                <c:formatCode>General</c:formatCode>
                <c:ptCount val="1"/>
                <c:pt idx="0">
                  <c:v>953.3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C-4ACF-B98D-3CD64E66CADA}"/>
            </c:ext>
          </c:extLst>
        </c:ser>
        <c:ser>
          <c:idx val="1"/>
          <c:order val="1"/>
          <c:tx>
            <c:strRef>
              <c:f>Inputs!$G$14</c:f>
              <c:strCache>
                <c:ptCount val="1"/>
                <c:pt idx="0">
                  <c:v>Colombia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Inputs!$H$14</c:f>
              <c:numCache>
                <c:formatCode>General</c:formatCode>
                <c:ptCount val="1"/>
                <c:pt idx="0">
                  <c:v>432.4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FC-4ACF-B98D-3CD64E66CADA}"/>
            </c:ext>
          </c:extLst>
        </c:ser>
        <c:ser>
          <c:idx val="2"/>
          <c:order val="2"/>
          <c:tx>
            <c:strRef>
              <c:f>Inputs!$G$15</c:f>
              <c:strCache>
                <c:ptCount val="1"/>
                <c:pt idx="0">
                  <c:v>Brazil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Inputs!$H$15</c:f>
              <c:numCache>
                <c:formatCode>General</c:formatCode>
                <c:ptCount val="1"/>
                <c:pt idx="0">
                  <c:v>553.20000000000005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FC-4ACF-B98D-3CD64E66CADA}"/>
            </c:ext>
          </c:extLst>
        </c:ser>
        <c:ser>
          <c:idx val="3"/>
          <c:order val="3"/>
          <c:tx>
            <c:strRef>
              <c:f>Inputs!$G$16</c:f>
              <c:strCache>
                <c:ptCount val="1"/>
                <c:pt idx="0">
                  <c:v>Ecuador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Inputs!$H$16</c:f>
              <c:numCache>
                <c:formatCode>General</c:formatCode>
                <c:ptCount val="1"/>
                <c:pt idx="0">
                  <c:v>445.1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FC-4ACF-B98D-3CD64E66CADA}"/>
            </c:ext>
          </c:extLst>
        </c:ser>
        <c:ser>
          <c:idx val="4"/>
          <c:order val="4"/>
          <c:tx>
            <c:strRef>
              <c:f>Inputs!$G$17</c:f>
              <c:strCache>
                <c:ptCount val="1"/>
                <c:pt idx="0">
                  <c:v>Peru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Inputs!$H$17</c:f>
              <c:numCache>
                <c:formatCode>General</c:formatCode>
                <c:ptCount val="1"/>
                <c:pt idx="0">
                  <c:v>425.1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FC-4ACF-B98D-3CD64E66CADA}"/>
            </c:ext>
          </c:extLst>
        </c:ser>
        <c:ser>
          <c:idx val="5"/>
          <c:order val="5"/>
          <c:tx>
            <c:strRef>
              <c:f>Inputs!$G$18</c:f>
              <c:strCache>
                <c:ptCount val="1"/>
                <c:pt idx="0">
                  <c:v>Chile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Inputs!$H$18</c:f>
              <c:numCache>
                <c:formatCode>General</c:formatCode>
                <c:ptCount val="1"/>
                <c:pt idx="0">
                  <c:v>253.6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FC-4ACF-B98D-3CD64E66CADA}"/>
            </c:ext>
          </c:extLst>
        </c:ser>
        <c:ser>
          <c:idx val="6"/>
          <c:order val="6"/>
          <c:tx>
            <c:strRef>
              <c:f>Inputs!$G$19</c:f>
              <c:strCache>
                <c:ptCount val="1"/>
                <c:pt idx="0">
                  <c:v>Bolivia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Inputs!$H$19</c:f>
              <c:numCache>
                <c:formatCode>General</c:formatCode>
                <c:ptCount val="1"/>
                <c:pt idx="0">
                  <c:v>387.5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FC-4ACF-B98D-3CD64E66C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7001568"/>
        <c:axId val="1257008288"/>
      </c:barChart>
      <c:catAx>
        <c:axId val="125700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008288"/>
        <c:crosses val="autoZero"/>
        <c:auto val="1"/>
        <c:lblAlgn val="ctr"/>
        <c:lblOffset val="100"/>
        <c:noMultiLvlLbl val="0"/>
      </c:catAx>
      <c:valAx>
        <c:axId val="125700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00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accent4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Yearly Earnings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Inputs!$C$13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Inputs!$D$13:$E$13</c:f>
              <c:numCache>
                <c:formatCode>General</c:formatCode>
                <c:ptCount val="2"/>
                <c:pt idx="0">
                  <c:v>201.9</c:v>
                </c:pt>
                <c:pt idx="1">
                  <c:v>215.3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B-423A-A433-03EBDAE604EB}"/>
            </c:ext>
          </c:extLst>
        </c:ser>
        <c:ser>
          <c:idx val="1"/>
          <c:order val="1"/>
          <c:tx>
            <c:strRef>
              <c:f>Inputs!$C$14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Inputs!$D$14:$E$14</c:f>
              <c:numCache>
                <c:formatCode>General</c:formatCode>
                <c:ptCount val="2"/>
                <c:pt idx="0">
                  <c:v>204.2</c:v>
                </c:pt>
                <c:pt idx="1">
                  <c:v>217.6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9B-423A-A433-03EBDAE604EB}"/>
            </c:ext>
          </c:extLst>
        </c:ser>
        <c:ser>
          <c:idx val="2"/>
          <c:order val="2"/>
          <c:tx>
            <c:strRef>
              <c:f>Inputs!$C$15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Inputs!$D$15:$E$15</c:f>
              <c:numCache>
                <c:formatCode>General</c:formatCode>
                <c:ptCount val="2"/>
                <c:pt idx="0">
                  <c:v>198.6</c:v>
                </c:pt>
                <c:pt idx="1">
                  <c:v>220.1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9B-423A-A433-03EBDAE604EB}"/>
            </c:ext>
          </c:extLst>
        </c:ser>
        <c:ser>
          <c:idx val="3"/>
          <c:order val="3"/>
          <c:tx>
            <c:strRef>
              <c:f>Inputs!$C$16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Inputs!$D$16:$E$16</c:f>
              <c:numCache>
                <c:formatCode>General</c:formatCode>
                <c:ptCount val="2"/>
                <c:pt idx="0">
                  <c:v>199.2</c:v>
                </c:pt>
                <c:pt idx="1">
                  <c:v>206.4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9B-423A-A433-03EBDAE604EB}"/>
            </c:ext>
          </c:extLst>
        </c:ser>
        <c:ser>
          <c:idx val="4"/>
          <c:order val="4"/>
          <c:tx>
            <c:strRef>
              <c:f>Inputs!$C$17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Inputs!$D$17:$E$17</c:f>
              <c:numCache>
                <c:formatCode>General</c:formatCode>
                <c:ptCount val="2"/>
                <c:pt idx="0">
                  <c:v>206.4</c:v>
                </c:pt>
                <c:pt idx="1">
                  <c:v>204.3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9B-423A-A433-03EBDAE604EB}"/>
            </c:ext>
          </c:extLst>
        </c:ser>
        <c:ser>
          <c:idx val="5"/>
          <c:order val="5"/>
          <c:tx>
            <c:strRef>
              <c:f>Inputs!$C$18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Inputs!$D$18:$E$18</c:f>
              <c:numCache>
                <c:formatCode>General</c:formatCode>
                <c:ptCount val="2"/>
                <c:pt idx="0">
                  <c:v>195.3</c:v>
                </c:pt>
                <c:pt idx="1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9B-423A-A433-03EBDAE604EB}"/>
            </c:ext>
          </c:extLst>
        </c:ser>
        <c:ser>
          <c:idx val="6"/>
          <c:order val="6"/>
          <c:tx>
            <c:strRef>
              <c:f>Inputs!$C$19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Inputs!$D$19:$E$19</c:f>
              <c:numCache>
                <c:formatCode>General</c:formatCode>
                <c:ptCount val="2"/>
                <c:pt idx="0">
                  <c:v>192.4</c:v>
                </c:pt>
                <c:pt idx="1">
                  <c:v>201.5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9B-423A-A433-03EBDAE604EB}"/>
            </c:ext>
          </c:extLst>
        </c:ser>
        <c:ser>
          <c:idx val="7"/>
          <c:order val="7"/>
          <c:tx>
            <c:strRef>
              <c:f>Inputs!$C$20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Inputs!$D$20:$E$20</c:f>
              <c:numCache>
                <c:formatCode>General</c:formatCode>
                <c:ptCount val="2"/>
                <c:pt idx="0">
                  <c:v>186.3</c:v>
                </c:pt>
                <c:pt idx="1">
                  <c:v>200.6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B9B-423A-A433-03EBDAE604EB}"/>
            </c:ext>
          </c:extLst>
        </c:ser>
        <c:ser>
          <c:idx val="8"/>
          <c:order val="8"/>
          <c:tx>
            <c:strRef>
              <c:f>Inputs!$C$21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Inputs!$D$21:$E$21</c:f>
              <c:numCache>
                <c:formatCode>General</c:formatCode>
                <c:ptCount val="2"/>
                <c:pt idx="0">
                  <c:v>194.2</c:v>
                </c:pt>
                <c:pt idx="1">
                  <c:v>210.6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B9B-423A-A433-03EBDAE604EB}"/>
            </c:ext>
          </c:extLst>
        </c:ser>
        <c:ser>
          <c:idx val="9"/>
          <c:order val="9"/>
          <c:tx>
            <c:strRef>
              <c:f>Inputs!$C$22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Inputs!$D$22:$E$22</c:f>
              <c:numCache>
                <c:formatCode>General</c:formatCode>
                <c:ptCount val="2"/>
                <c:pt idx="0">
                  <c:v>199</c:v>
                </c:pt>
                <c:pt idx="1">
                  <c:v>216.4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B9B-423A-A433-03EBDAE604EB}"/>
            </c:ext>
          </c:extLst>
        </c:ser>
        <c:ser>
          <c:idx val="10"/>
          <c:order val="10"/>
          <c:tx>
            <c:strRef>
              <c:f>Inputs!$C$23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Inputs!$D$23:$E$23</c:f>
              <c:numCache>
                <c:formatCode>General</c:formatCode>
                <c:ptCount val="2"/>
                <c:pt idx="0">
                  <c:v>205.2</c:v>
                </c:pt>
                <c:pt idx="1">
                  <c:v>222.3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B9B-423A-A433-03EBDAE604EB}"/>
            </c:ext>
          </c:extLst>
        </c:ser>
        <c:ser>
          <c:idx val="11"/>
          <c:order val="11"/>
          <c:tx>
            <c:strRef>
              <c:f>Inputs!$C$24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Inputs!$D$24:$E$24</c:f>
              <c:numCache>
                <c:formatCode>General</c:formatCode>
                <c:ptCount val="2"/>
                <c:pt idx="0">
                  <c:v>204.3</c:v>
                </c:pt>
                <c:pt idx="1">
                  <c:v>225.8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B9B-423A-A433-03EBDAE60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2574959"/>
        <c:axId val="662575439"/>
      </c:barChart>
      <c:catAx>
        <c:axId val="662574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575439"/>
        <c:crosses val="autoZero"/>
        <c:auto val="1"/>
        <c:lblAlgn val="ctr"/>
        <c:lblOffset val="100"/>
        <c:noMultiLvlLbl val="0"/>
      </c:catAx>
      <c:valAx>
        <c:axId val="66257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57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accent4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Customer Target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Inputs!$I$5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D59-4F34-9B0E-6DDF99F0C379}"/>
              </c:ext>
            </c:extLst>
          </c:dPt>
          <c:val>
            <c:numRef>
              <c:f>Inputs!$J$5</c:f>
              <c:numCache>
                <c:formatCode>_-* #,##0.0_-;\-* #,##0.0_-;_-* "-"??_-;_-@_-</c:formatCode>
                <c:ptCount val="1"/>
                <c:pt idx="0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59-4F34-9B0E-6DDF99F0C379}"/>
            </c:ext>
          </c:extLst>
        </c:ser>
        <c:ser>
          <c:idx val="1"/>
          <c:order val="1"/>
          <c:tx>
            <c:strRef>
              <c:f>Inputs!$I$6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D59-4F34-9B0E-6DDF99F0C379}"/>
              </c:ext>
            </c:extLst>
          </c:dPt>
          <c:val>
            <c:numRef>
              <c:f>Inputs!$J$6</c:f>
              <c:numCache>
                <c:formatCode>_-* #,##0.0_-;\-* #,##0.0_-;_-* "-"??_-;_-@_-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D59-4F34-9B0E-6DDF99F0C379}"/>
            </c:ext>
          </c:extLst>
        </c:ser>
        <c:ser>
          <c:idx val="2"/>
          <c:order val="2"/>
          <c:tx>
            <c:strRef>
              <c:f>Inputs!$I$7</c:f>
              <c:strCache>
                <c:ptCount val="1"/>
                <c:pt idx="0">
                  <c:v>% Complete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Inputs!$J$7</c:f>
              <c:numCache>
                <c:formatCode>0%</c:formatCode>
                <c:ptCount val="1"/>
                <c:pt idx="0">
                  <c:v>0.87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D59-4F34-9B0E-6DDF99F0C379}"/>
            </c:ext>
          </c:extLst>
        </c:ser>
        <c:ser>
          <c:idx val="3"/>
          <c:order val="3"/>
          <c:tx>
            <c:strRef>
              <c:f>Inputs!$I$8</c:f>
              <c:strCache>
                <c:ptCount val="1"/>
                <c:pt idx="0">
                  <c:v>Remainder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Inputs!$J$8</c:f>
              <c:numCache>
                <c:formatCode>0%</c:formatCode>
                <c:ptCount val="1"/>
                <c:pt idx="0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D59-4F34-9B0E-6DDF99F0C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2685136"/>
        <c:axId val="1312683696"/>
      </c:barChart>
      <c:catAx>
        <c:axId val="1312685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683696"/>
        <c:crosses val="autoZero"/>
        <c:auto val="1"/>
        <c:lblAlgn val="ctr"/>
        <c:lblOffset val="100"/>
        <c:noMultiLvlLbl val="0"/>
      </c:catAx>
      <c:valAx>
        <c:axId val="131268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68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accent4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Target Profits!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Inputs!$F$5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Inputs!$G$5</c:f>
              <c:numCache>
                <c:formatCode>_-[$$-409]* #,##0_ ;_-[$$-409]* \-#,##0\ ;_-[$$-409]* "-"??_ ;_-@_ </c:formatCode>
                <c:ptCount val="1"/>
                <c:pt idx="0">
                  <c:v>890.36500000000001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C-46BA-8D1F-251C268D2A49}"/>
            </c:ext>
          </c:extLst>
        </c:ser>
        <c:ser>
          <c:idx val="1"/>
          <c:order val="1"/>
          <c:tx>
            <c:strRef>
              <c:f>Inputs!$F$6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Inputs!$G$6</c:f>
              <c:numCache>
                <c:formatCode>_-[$$-409]* #,##0_ ;_-[$$-409]* \-#,##0\ ;_-[$$-409]* "-"??_ ;_-@_ 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5C-46BA-8D1F-251C268D2A49}"/>
            </c:ext>
          </c:extLst>
        </c:ser>
        <c:ser>
          <c:idx val="2"/>
          <c:order val="2"/>
          <c:tx>
            <c:strRef>
              <c:f>Inputs!$F$7</c:f>
              <c:strCache>
                <c:ptCount val="1"/>
                <c:pt idx="0">
                  <c:v>% Complete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Inputs!$G$7</c:f>
              <c:numCache>
                <c:formatCode>0%</c:formatCode>
                <c:ptCount val="1"/>
                <c:pt idx="0">
                  <c:v>0.89036499999999996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5C-46BA-8D1F-251C268D2A49}"/>
            </c:ext>
          </c:extLst>
        </c:ser>
        <c:ser>
          <c:idx val="3"/>
          <c:order val="3"/>
          <c:tx>
            <c:strRef>
              <c:f>Inputs!$F$8</c:f>
              <c:strCache>
                <c:ptCount val="1"/>
                <c:pt idx="0">
                  <c:v>Remainder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Inputs!$G$8</c:f>
              <c:numCache>
                <c:formatCode>0%</c:formatCode>
                <c:ptCount val="1"/>
                <c:pt idx="0">
                  <c:v>0.10963500000000004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5C-46BA-8D1F-251C268D2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7981983"/>
        <c:axId val="467981503"/>
      </c:barChart>
      <c:catAx>
        <c:axId val="46798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981503"/>
        <c:crosses val="autoZero"/>
        <c:auto val="1"/>
        <c:lblAlgn val="ctr"/>
        <c:lblOffset val="100"/>
        <c:noMultiLvlLbl val="0"/>
      </c:catAx>
      <c:valAx>
        <c:axId val="46798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98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accent4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Raw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Inputs!$C$5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Inputs!$D$5</c:f>
              <c:numCache>
                <c:formatCode>_-[$$-409]* #,##0_ ;_-[$$-409]* \-#,##0\ ;_-[$$-409]* "-"??_ ;_-@_ </c:formatCode>
                <c:ptCount val="1"/>
                <c:pt idx="0">
                  <c:v>2543.9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2F-4D87-9C67-A2462042BC5F}"/>
            </c:ext>
          </c:extLst>
        </c:ser>
        <c:ser>
          <c:idx val="1"/>
          <c:order val="1"/>
          <c:tx>
            <c:strRef>
              <c:f>Inputs!$C$6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val>
            <c:numRef>
              <c:f>Inputs!$D$6</c:f>
              <c:numCache>
                <c:formatCode>_-[$$-409]* #,##0_ ;_-[$$-409]* \-#,##0\ ;_-[$$-409]* "-"??_ ;_-@_ </c:formatCode>
                <c:ptCount val="1"/>
                <c:pt idx="0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2F-4D87-9C67-A2462042BC5F}"/>
            </c:ext>
          </c:extLst>
        </c:ser>
        <c:ser>
          <c:idx val="2"/>
          <c:order val="2"/>
          <c:tx>
            <c:strRef>
              <c:f>Inputs!$C$7</c:f>
              <c:strCache>
                <c:ptCount val="1"/>
                <c:pt idx="0">
                  <c:v>% Complete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Inputs!$D$7</c:f>
              <c:numCache>
                <c:formatCode>0%</c:formatCode>
                <c:ptCount val="1"/>
                <c:pt idx="0">
                  <c:v>0.84796666666666665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2F-4D87-9C67-A2462042BC5F}"/>
            </c:ext>
          </c:extLst>
        </c:ser>
        <c:ser>
          <c:idx val="3"/>
          <c:order val="3"/>
          <c:tx>
            <c:strRef>
              <c:f>Inputs!$C$8</c:f>
              <c:strCache>
                <c:ptCount val="1"/>
                <c:pt idx="0">
                  <c:v>Remainder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val>
            <c:numRef>
              <c:f>Inputs!$D$8</c:f>
              <c:numCache>
                <c:formatCode>0%</c:formatCode>
                <c:ptCount val="1"/>
                <c:pt idx="0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2F-4D87-9C67-A2462042B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36285264"/>
        <c:axId val="736284304"/>
        <c:axId val="716854064"/>
      </c:bar3DChart>
      <c:catAx>
        <c:axId val="73628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284304"/>
        <c:crosses val="autoZero"/>
        <c:auto val="1"/>
        <c:lblAlgn val="ctr"/>
        <c:lblOffset val="100"/>
        <c:noMultiLvlLbl val="0"/>
      </c:catAx>
      <c:valAx>
        <c:axId val="73628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285264"/>
        <c:crosses val="autoZero"/>
        <c:crossBetween val="between"/>
      </c:valAx>
      <c:serAx>
        <c:axId val="716854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284304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accent4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chart" Target="../charts/chart3.xml"/><Relationship Id="rId18" Type="http://schemas.openxmlformats.org/officeDocument/2006/relationships/image" Target="../media/image10.png"/><Relationship Id="rId3" Type="http://schemas.openxmlformats.org/officeDocument/2006/relationships/hyperlink" Target="mailto:2703@iona.vic.edu.au" TargetMode="External"/><Relationship Id="rId21" Type="http://schemas.openxmlformats.org/officeDocument/2006/relationships/image" Target="../media/image12.png"/><Relationship Id="rId7" Type="http://schemas.openxmlformats.org/officeDocument/2006/relationships/hyperlink" Target="#Inputs!A1"/><Relationship Id="rId12" Type="http://schemas.openxmlformats.org/officeDocument/2006/relationships/chart" Target="../charts/chart2.xml"/><Relationship Id="rId17" Type="http://schemas.openxmlformats.org/officeDocument/2006/relationships/image" Target="../media/image9.png"/><Relationship Id="rId25" Type="http://schemas.openxmlformats.org/officeDocument/2006/relationships/image" Target="../media/image15.png"/><Relationship Id="rId2" Type="http://schemas.openxmlformats.org/officeDocument/2006/relationships/image" Target="../media/image2.svg"/><Relationship Id="rId16" Type="http://schemas.openxmlformats.org/officeDocument/2006/relationships/image" Target="../media/image8.png"/><Relationship Id="rId20" Type="http://schemas.openxmlformats.org/officeDocument/2006/relationships/chart" Target="../charts/chart5.xml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openxmlformats.org/officeDocument/2006/relationships/chart" Target="../charts/chart1.xml"/><Relationship Id="rId24" Type="http://schemas.openxmlformats.org/officeDocument/2006/relationships/image" Target="../media/image14.png"/><Relationship Id="rId5" Type="http://schemas.openxmlformats.org/officeDocument/2006/relationships/hyperlink" Target="#Contacts!A1"/><Relationship Id="rId15" Type="http://schemas.openxmlformats.org/officeDocument/2006/relationships/image" Target="../media/image7.png"/><Relationship Id="rId23" Type="http://schemas.openxmlformats.org/officeDocument/2006/relationships/chart" Target="../charts/chart6.xml"/><Relationship Id="rId10" Type="http://schemas.openxmlformats.org/officeDocument/2006/relationships/image" Target="../media/image6.png"/><Relationship Id="rId19" Type="http://schemas.openxmlformats.org/officeDocument/2006/relationships/image" Target="../media/image11.png"/><Relationship Id="rId4" Type="http://schemas.openxmlformats.org/officeDocument/2006/relationships/image" Target="../media/image3.png"/><Relationship Id="rId9" Type="http://schemas.openxmlformats.org/officeDocument/2006/relationships/hyperlink" Target="#Dashboard!A1"/><Relationship Id="rId14" Type="http://schemas.openxmlformats.org/officeDocument/2006/relationships/chart" Target="../charts/chart4.xml"/><Relationship Id="rId22" Type="http://schemas.openxmlformats.org/officeDocument/2006/relationships/image" Target="../media/image13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hyperlink" Target="mailto:2703@iona.vic.edu.au" TargetMode="External"/><Relationship Id="rId7" Type="http://schemas.openxmlformats.org/officeDocument/2006/relationships/hyperlink" Target="#Inputs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#Contacts!A1"/><Relationship Id="rId10" Type="http://schemas.openxmlformats.org/officeDocument/2006/relationships/image" Target="../media/image6.png"/><Relationship Id="rId4" Type="http://schemas.openxmlformats.org/officeDocument/2006/relationships/image" Target="../media/image3.png"/><Relationship Id="rId9" Type="http://schemas.openxmlformats.org/officeDocument/2006/relationships/hyperlink" Target="#Dashboard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hyperlink" Target="mailto:2703@iona.vic.edu.au" TargetMode="External"/><Relationship Id="rId7" Type="http://schemas.openxmlformats.org/officeDocument/2006/relationships/hyperlink" Target="#Inputs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#Contacts!A1"/><Relationship Id="rId10" Type="http://schemas.openxmlformats.org/officeDocument/2006/relationships/image" Target="../media/image6.png"/><Relationship Id="rId4" Type="http://schemas.openxmlformats.org/officeDocument/2006/relationships/image" Target="../media/image3.png"/><Relationship Id="rId9" Type="http://schemas.openxmlformats.org/officeDocument/2006/relationships/hyperlink" Target="#Dashboard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103189</xdr:colOff>
      <xdr:row>14</xdr:row>
      <xdr:rowOff>54771</xdr:rowOff>
    </xdr:from>
    <xdr:to>
      <xdr:col>0</xdr:col>
      <xdr:colOff>730250</xdr:colOff>
      <xdr:row>17</xdr:row>
      <xdr:rowOff>127589</xdr:rowOff>
    </xdr:to>
    <xdr:pic>
      <xdr:nvPicPr>
        <xdr:cNvPr id="2" name="Picture 1" descr="question mark | Pixel Art Maker | ShopLook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8D7E123-F51D-4639-B474-EFFDC666D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189" y="2832896"/>
          <a:ext cx="627061" cy="6681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304800</xdr:colOff>
      <xdr:row>19</xdr:row>
      <xdr:rowOff>107950</xdr:rowOff>
    </xdr:to>
    <xdr:sp macro="" textlink="">
      <xdr:nvSpPr>
        <xdr:cNvPr id="1028" name="AutoShape 4" descr="Pixel Mail Icon Envelope Ui Button Vector, Mail, Envelope, Letter PNG and  Vector with Transparent Background for Free Download">
          <a:extLst>
            <a:ext uri="{FF2B5EF4-FFF2-40B4-BE49-F238E27FC236}">
              <a16:creationId xmlns:a16="http://schemas.microsoft.com/office/drawing/2014/main" id="{46C00481-F9DA-FB11-2960-A5EE7426C705}"/>
            </a:ext>
          </a:extLst>
        </xdr:cNvPr>
        <xdr:cNvSpPr>
          <a:spLocks noChangeAspect="1" noChangeArrowheads="1"/>
        </xdr:cNvSpPr>
      </xdr:nvSpPr>
      <xdr:spPr bwMode="auto">
        <a:xfrm>
          <a:off x="8255000" y="35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304800</xdr:colOff>
      <xdr:row>19</xdr:row>
      <xdr:rowOff>107950</xdr:rowOff>
    </xdr:to>
    <xdr:sp macro="" textlink="">
      <xdr:nvSpPr>
        <xdr:cNvPr id="1029" name="AutoShape 5" descr="Pixel Mail Icon Envelope Ui Button Vector, Mail, Envelope, Letter PNG and  Vector with Transparent Background for Free Download">
          <a:extLst>
            <a:ext uri="{FF2B5EF4-FFF2-40B4-BE49-F238E27FC236}">
              <a16:creationId xmlns:a16="http://schemas.microsoft.com/office/drawing/2014/main" id="{94E2F96D-C423-F0CC-927F-0F1554B0A250}"/>
            </a:ext>
          </a:extLst>
        </xdr:cNvPr>
        <xdr:cNvSpPr>
          <a:spLocks noChangeAspect="1" noChangeArrowheads="1"/>
        </xdr:cNvSpPr>
      </xdr:nvSpPr>
      <xdr:spPr bwMode="auto">
        <a:xfrm>
          <a:off x="8255000" y="35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304800</xdr:colOff>
      <xdr:row>19</xdr:row>
      <xdr:rowOff>107950</xdr:rowOff>
    </xdr:to>
    <xdr:sp macro="" textlink="">
      <xdr:nvSpPr>
        <xdr:cNvPr id="1030" name="AutoShape 6" descr="Pixel Mail Icon Envelope Ui Button Vector, Mail, Envelope, Letter PNG and  Vector with Transparent Background for Free Download">
          <a:extLst>
            <a:ext uri="{FF2B5EF4-FFF2-40B4-BE49-F238E27FC236}">
              <a16:creationId xmlns:a16="http://schemas.microsoft.com/office/drawing/2014/main" id="{10BC9764-FA09-6064-54E4-1FF9C0F30223}"/>
            </a:ext>
          </a:extLst>
        </xdr:cNvPr>
        <xdr:cNvSpPr>
          <a:spLocks noChangeAspect="1" noChangeArrowheads="1"/>
        </xdr:cNvSpPr>
      </xdr:nvSpPr>
      <xdr:spPr bwMode="auto">
        <a:xfrm>
          <a:off x="8255000" y="35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115092</xdr:rowOff>
    </xdr:from>
    <xdr:to>
      <xdr:col>0</xdr:col>
      <xdr:colOff>801688</xdr:colOff>
      <xdr:row>13</xdr:row>
      <xdr:rowOff>119061</xdr:rowOff>
    </xdr:to>
    <xdr:pic>
      <xdr:nvPicPr>
        <xdr:cNvPr id="9" name="Picture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56797AC-01A2-49DA-9849-B0FEC251C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97905"/>
          <a:ext cx="801688" cy="400844"/>
        </a:xfrm>
        <a:prstGeom prst="rect">
          <a:avLst/>
        </a:prstGeom>
      </xdr:spPr>
    </xdr:pic>
    <xdr:clientData/>
  </xdr:twoCellAnchor>
  <xdr:twoCellAnchor editAs="oneCell">
    <xdr:from>
      <xdr:col>0</xdr:col>
      <xdr:colOff>174627</xdr:colOff>
      <xdr:row>8</xdr:row>
      <xdr:rowOff>150813</xdr:rowOff>
    </xdr:from>
    <xdr:to>
      <xdr:col>0</xdr:col>
      <xdr:colOff>615966</xdr:colOff>
      <xdr:row>10</xdr:row>
      <xdr:rowOff>195277</xdr:rowOff>
    </xdr:to>
    <xdr:pic>
      <xdr:nvPicPr>
        <xdr:cNvPr id="11" name="Picture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85137D7-DB35-4AEE-2598-A648B5D98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627" y="1738313"/>
          <a:ext cx="441339" cy="441339"/>
        </a:xfrm>
        <a:prstGeom prst="rect">
          <a:avLst/>
        </a:prstGeom>
      </xdr:spPr>
    </xdr:pic>
    <xdr:clientData/>
  </xdr:twoCellAnchor>
  <xdr:twoCellAnchor editAs="oneCell">
    <xdr:from>
      <xdr:col>0</xdr:col>
      <xdr:colOff>95251</xdr:colOff>
      <xdr:row>5</xdr:row>
      <xdr:rowOff>11245</xdr:rowOff>
    </xdr:from>
    <xdr:to>
      <xdr:col>0</xdr:col>
      <xdr:colOff>722313</xdr:colOff>
      <xdr:row>8</xdr:row>
      <xdr:rowOff>42995</xdr:rowOff>
    </xdr:to>
    <xdr:pic>
      <xdr:nvPicPr>
        <xdr:cNvPr id="13" name="Picture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3E92D8E-12CD-5294-48D6-3CE3CD53A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1003433"/>
          <a:ext cx="627062" cy="627062"/>
        </a:xfrm>
        <a:prstGeom prst="rect">
          <a:avLst/>
        </a:prstGeom>
      </xdr:spPr>
    </xdr:pic>
    <xdr:clientData/>
  </xdr:twoCellAnchor>
  <xdr:twoCellAnchor>
    <xdr:from>
      <xdr:col>1</xdr:col>
      <xdr:colOff>437932</xdr:colOff>
      <xdr:row>0</xdr:row>
      <xdr:rowOff>0</xdr:rowOff>
    </xdr:from>
    <xdr:to>
      <xdr:col>12</xdr:col>
      <xdr:colOff>430634</xdr:colOff>
      <xdr:row>9</xdr:row>
      <xdr:rowOff>14597</xdr:rowOff>
    </xdr:to>
    <xdr:sp macro="" textlink="">
      <xdr:nvSpPr>
        <xdr:cNvPr id="18" name="Arrow: Right 17">
          <a:extLst>
            <a:ext uri="{FF2B5EF4-FFF2-40B4-BE49-F238E27FC236}">
              <a16:creationId xmlns:a16="http://schemas.microsoft.com/office/drawing/2014/main" id="{27529B3D-5BE7-AD10-EFFD-C3B61503C94E}"/>
            </a:ext>
          </a:extLst>
        </xdr:cNvPr>
        <xdr:cNvSpPr/>
      </xdr:nvSpPr>
      <xdr:spPr>
        <a:xfrm>
          <a:off x="1262702" y="0"/>
          <a:ext cx="9065173" cy="1788218"/>
        </a:xfrm>
        <a:prstGeom prst="rightArrow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4400" b="1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SALES</a:t>
          </a:r>
          <a:r>
            <a:rPr lang="en-AU" sz="4400" b="1" baseline="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BOARD (South America)</a:t>
          </a:r>
          <a:endParaRPr lang="en-AU" sz="4400" b="1"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5</xdr:col>
      <xdr:colOff>781233</xdr:colOff>
      <xdr:row>15</xdr:row>
      <xdr:rowOff>22413</xdr:rowOff>
    </xdr:from>
    <xdr:to>
      <xdr:col>11</xdr:col>
      <xdr:colOff>377821</xdr:colOff>
      <xdr:row>29</xdr:row>
      <xdr:rowOff>46318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50D87DE9-DD64-4013-B587-C98C3E389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679998</xdr:colOff>
      <xdr:row>10</xdr:row>
      <xdr:rowOff>37352</xdr:rowOff>
    </xdr:from>
    <xdr:to>
      <xdr:col>11</xdr:col>
      <xdr:colOff>724648</xdr:colOff>
      <xdr:row>14</xdr:row>
      <xdr:rowOff>127000</xdr:rowOff>
    </xdr:to>
    <xdr:sp macro="" textlink="">
      <xdr:nvSpPr>
        <xdr:cNvPr id="23" name="Arrow: Right 22">
          <a:extLst>
            <a:ext uri="{FF2B5EF4-FFF2-40B4-BE49-F238E27FC236}">
              <a16:creationId xmlns:a16="http://schemas.microsoft.com/office/drawing/2014/main" id="{F9B2BE2B-EA64-4692-A4A7-F59C2C1DC228}"/>
            </a:ext>
          </a:extLst>
        </xdr:cNvPr>
        <xdr:cNvSpPr/>
      </xdr:nvSpPr>
      <xdr:spPr>
        <a:xfrm>
          <a:off x="4826174" y="1979705"/>
          <a:ext cx="5020062" cy="866589"/>
        </a:xfrm>
        <a:prstGeom prst="rightArrow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2000" b="1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CUSTOMER</a:t>
          </a:r>
          <a:r>
            <a:rPr lang="en-AU" sz="2000" b="1" baseline="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SATISFACTION</a:t>
          </a:r>
          <a:endParaRPr lang="en-AU" sz="2000" b="1"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</xdr:col>
      <xdr:colOff>201707</xdr:colOff>
      <xdr:row>34</xdr:row>
      <xdr:rowOff>112058</xdr:rowOff>
    </xdr:from>
    <xdr:to>
      <xdr:col>6</xdr:col>
      <xdr:colOff>627530</xdr:colOff>
      <xdr:row>48</xdr:row>
      <xdr:rowOff>135964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E29550BA-A433-468B-A969-28E88162A9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324398</xdr:colOff>
      <xdr:row>30</xdr:row>
      <xdr:rowOff>92634</xdr:rowOff>
    </xdr:from>
    <xdr:to>
      <xdr:col>7</xdr:col>
      <xdr:colOff>369048</xdr:colOff>
      <xdr:row>34</xdr:row>
      <xdr:rowOff>182282</xdr:rowOff>
    </xdr:to>
    <xdr:sp macro="" textlink="">
      <xdr:nvSpPr>
        <xdr:cNvPr id="25" name="Arrow: Right 24">
          <a:extLst>
            <a:ext uri="{FF2B5EF4-FFF2-40B4-BE49-F238E27FC236}">
              <a16:creationId xmlns:a16="http://schemas.microsoft.com/office/drawing/2014/main" id="{C3A55A76-4AA1-96E2-6CBE-31D8441CFDAC}"/>
            </a:ext>
          </a:extLst>
        </xdr:cNvPr>
        <xdr:cNvSpPr/>
      </xdr:nvSpPr>
      <xdr:spPr>
        <a:xfrm>
          <a:off x="1153633" y="5919693"/>
          <a:ext cx="5020062" cy="866589"/>
        </a:xfrm>
        <a:prstGeom prst="rightArrow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2000" b="1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SALES</a:t>
          </a:r>
          <a:r>
            <a:rPr lang="en-AU" sz="2000" b="1" baseline="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FIGURES</a:t>
          </a:r>
          <a:endParaRPr lang="en-AU" sz="2000" b="1"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8</xdr:col>
      <xdr:colOff>188148</xdr:colOff>
      <xdr:row>53</xdr:row>
      <xdr:rowOff>141111</xdr:rowOff>
    </xdr:from>
    <xdr:to>
      <xdr:col>13</xdr:col>
      <xdr:colOff>644407</xdr:colOff>
      <xdr:row>67</xdr:row>
      <xdr:rowOff>85608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EC287C54-A8F9-47EF-88B7-0543BDDC5C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335687</xdr:colOff>
      <xdr:row>49</xdr:row>
      <xdr:rowOff>80404</xdr:rowOff>
    </xdr:from>
    <xdr:to>
      <xdr:col>14</xdr:col>
      <xdr:colOff>380337</xdr:colOff>
      <xdr:row>53</xdr:row>
      <xdr:rowOff>170052</xdr:rowOff>
    </xdr:to>
    <xdr:sp macro="" textlink="">
      <xdr:nvSpPr>
        <xdr:cNvPr id="27" name="Arrow: Right 26">
          <a:extLst>
            <a:ext uri="{FF2B5EF4-FFF2-40B4-BE49-F238E27FC236}">
              <a16:creationId xmlns:a16="http://schemas.microsoft.com/office/drawing/2014/main" id="{1DF4270C-952A-CECF-C11C-0D0A9AB28BC3}"/>
            </a:ext>
          </a:extLst>
        </xdr:cNvPr>
        <xdr:cNvSpPr/>
      </xdr:nvSpPr>
      <xdr:spPr>
        <a:xfrm>
          <a:off x="6920872" y="9875867"/>
          <a:ext cx="4983539" cy="889278"/>
        </a:xfrm>
        <a:prstGeom prst="rightArrow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2000" b="1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YEARLY</a:t>
          </a:r>
          <a:r>
            <a:rPr lang="en-AU" sz="2000" b="1" baseline="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EARNINGS</a:t>
          </a:r>
          <a:endParaRPr lang="en-AU" sz="2000" b="1"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</xdr:col>
      <xdr:colOff>587963</xdr:colOff>
      <xdr:row>72</xdr:row>
      <xdr:rowOff>117593</xdr:rowOff>
    </xdr:from>
    <xdr:to>
      <xdr:col>7</xdr:col>
      <xdr:colOff>221074</xdr:colOff>
      <xdr:row>86</xdr:row>
      <xdr:rowOff>62089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B4981C1E-52A9-477C-97E4-7DF7823462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735031</xdr:colOff>
      <xdr:row>68</xdr:row>
      <xdr:rowOff>44656</xdr:rowOff>
    </xdr:from>
    <xdr:to>
      <xdr:col>7</xdr:col>
      <xdr:colOff>779681</xdr:colOff>
      <xdr:row>72</xdr:row>
      <xdr:rowOff>134305</xdr:rowOff>
    </xdr:to>
    <xdr:sp macro="" textlink="">
      <xdr:nvSpPr>
        <xdr:cNvPr id="29" name="Arrow: Right 28">
          <a:extLst>
            <a:ext uri="{FF2B5EF4-FFF2-40B4-BE49-F238E27FC236}">
              <a16:creationId xmlns:a16="http://schemas.microsoft.com/office/drawing/2014/main" id="{4DB18BEF-E5E8-04AC-7334-EF01491D1ABF}"/>
            </a:ext>
          </a:extLst>
        </xdr:cNvPr>
        <xdr:cNvSpPr/>
      </xdr:nvSpPr>
      <xdr:spPr>
        <a:xfrm>
          <a:off x="1558179" y="13638360"/>
          <a:ext cx="4983539" cy="889278"/>
        </a:xfrm>
        <a:prstGeom prst="rightArrow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2000" b="1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CUSTOMER</a:t>
          </a:r>
          <a:r>
            <a:rPr lang="en-AU" sz="2000" b="1" baseline="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TARGET SALES</a:t>
          </a:r>
          <a:endParaRPr lang="en-AU" sz="2000" b="1"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 editAs="oneCell">
    <xdr:from>
      <xdr:col>2</xdr:col>
      <xdr:colOff>364538</xdr:colOff>
      <xdr:row>16</xdr:row>
      <xdr:rowOff>129351</xdr:rowOff>
    </xdr:from>
    <xdr:to>
      <xdr:col>4</xdr:col>
      <xdr:colOff>739959</xdr:colOff>
      <xdr:row>26</xdr:row>
      <xdr:rowOff>151995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D2DC265F-B17D-CFC8-8D9C-3DF987877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0834" y="3327870"/>
          <a:ext cx="2021718" cy="2021718"/>
        </a:xfrm>
        <a:prstGeom prst="rect">
          <a:avLst/>
        </a:prstGeom>
      </xdr:spPr>
    </xdr:pic>
    <xdr:clientData/>
  </xdr:twoCellAnchor>
  <xdr:twoCellAnchor editAs="oneCell">
    <xdr:from>
      <xdr:col>6</xdr:col>
      <xdr:colOff>505649</xdr:colOff>
      <xdr:row>33</xdr:row>
      <xdr:rowOff>1</xdr:rowOff>
    </xdr:from>
    <xdr:to>
      <xdr:col>13</xdr:col>
      <xdr:colOff>696737</xdr:colOff>
      <xdr:row>49</xdr:row>
      <xdr:rowOff>135232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3EF7263C-1935-D0F8-1D32-328BF0CAD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4538" y="6596945"/>
          <a:ext cx="5953125" cy="3333750"/>
        </a:xfrm>
        <a:prstGeom prst="rect">
          <a:avLst/>
        </a:prstGeom>
      </xdr:spPr>
    </xdr:pic>
    <xdr:clientData/>
  </xdr:twoCellAnchor>
  <xdr:twoCellAnchor editAs="oneCell">
    <xdr:from>
      <xdr:col>2</xdr:col>
      <xdr:colOff>482131</xdr:colOff>
      <xdr:row>50</xdr:row>
      <xdr:rowOff>191820</xdr:rowOff>
    </xdr:from>
    <xdr:to>
      <xdr:col>6</xdr:col>
      <xdr:colOff>423334</xdr:colOff>
      <xdr:row>67</xdr:row>
      <xdr:rowOff>27190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1BD8462C-B180-C63A-39BF-02A57A948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8427" y="10187190"/>
          <a:ext cx="3233796" cy="3233796"/>
        </a:xfrm>
        <a:prstGeom prst="rect">
          <a:avLst/>
        </a:prstGeom>
      </xdr:spPr>
    </xdr:pic>
    <xdr:clientData/>
  </xdr:twoCellAnchor>
  <xdr:twoCellAnchor editAs="oneCell">
    <xdr:from>
      <xdr:col>13</xdr:col>
      <xdr:colOff>256702</xdr:colOff>
      <xdr:row>0</xdr:row>
      <xdr:rowOff>27021</xdr:rowOff>
    </xdr:from>
    <xdr:to>
      <xdr:col>17</xdr:col>
      <xdr:colOff>817731</xdr:colOff>
      <xdr:row>29</xdr:row>
      <xdr:rowOff>17293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BB0C156-4490-46F2-4230-B2AB46783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0638" y="27021"/>
          <a:ext cx="3857625" cy="5867400"/>
        </a:xfrm>
        <a:prstGeom prst="rect">
          <a:avLst/>
        </a:prstGeom>
      </xdr:spPr>
    </xdr:pic>
    <xdr:clientData/>
  </xdr:twoCellAnchor>
  <xdr:twoCellAnchor editAs="oneCell">
    <xdr:from>
      <xdr:col>20</xdr:col>
      <xdr:colOff>763127</xdr:colOff>
      <xdr:row>33</xdr:row>
      <xdr:rowOff>153822</xdr:rowOff>
    </xdr:from>
    <xdr:to>
      <xdr:col>24</xdr:col>
      <xdr:colOff>344978</xdr:colOff>
      <xdr:row>47</xdr:row>
      <xdr:rowOff>106816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DB5354F-6636-765D-AC07-28DC816DD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15400" y="6821322"/>
          <a:ext cx="2872305" cy="2781630"/>
        </a:xfrm>
        <a:prstGeom prst="rect">
          <a:avLst/>
        </a:prstGeom>
      </xdr:spPr>
    </xdr:pic>
    <xdr:clientData/>
  </xdr:twoCellAnchor>
  <xdr:twoCellAnchor>
    <xdr:from>
      <xdr:col>13</xdr:col>
      <xdr:colOff>704915</xdr:colOff>
      <xdr:row>29</xdr:row>
      <xdr:rowOff>124390</xdr:rowOff>
    </xdr:from>
    <xdr:to>
      <xdr:col>19</xdr:col>
      <xdr:colOff>749565</xdr:colOff>
      <xdr:row>34</xdr:row>
      <xdr:rowOff>12696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42313E0A-13F0-7F31-28E1-A7E1A41037E3}"/>
            </a:ext>
          </a:extLst>
        </xdr:cNvPr>
        <xdr:cNvSpPr/>
      </xdr:nvSpPr>
      <xdr:spPr>
        <a:xfrm>
          <a:off x="11376013" y="5963292"/>
          <a:ext cx="4969772" cy="895014"/>
        </a:xfrm>
        <a:prstGeom prst="rightArrow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2000" b="1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TARGET</a:t>
          </a:r>
          <a:r>
            <a:rPr lang="en-AU" sz="2000" b="1" baseline="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PROFITS</a:t>
          </a:r>
          <a:endParaRPr lang="en-AU" sz="2000" b="1"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14</xdr:col>
      <xdr:colOff>0</xdr:colOff>
      <xdr:row>34</xdr:row>
      <xdr:rowOff>170365</xdr:rowOff>
    </xdr:from>
    <xdr:to>
      <xdr:col>19</xdr:col>
      <xdr:colOff>467731</xdr:colOff>
      <xdr:row>48</xdr:row>
      <xdr:rowOff>94785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B3A88B4-3178-47A5-8E74-6C9CAC2A6F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19</xdr:col>
      <xdr:colOff>14431</xdr:colOff>
      <xdr:row>4</xdr:row>
      <xdr:rowOff>129886</xdr:rowOff>
    </xdr:from>
    <xdr:to>
      <xdr:col>25</xdr:col>
      <xdr:colOff>403224</xdr:colOff>
      <xdr:row>23</xdr:row>
      <xdr:rowOff>62923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B138389-7C5C-19D3-B867-360128DA7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44090" y="938068"/>
          <a:ext cx="5324475" cy="3771900"/>
        </a:xfrm>
        <a:prstGeom prst="rect">
          <a:avLst/>
        </a:prstGeom>
      </xdr:spPr>
    </xdr:pic>
    <xdr:clientData/>
  </xdr:twoCellAnchor>
  <xdr:twoCellAnchor editAs="oneCell">
    <xdr:from>
      <xdr:col>15</xdr:col>
      <xdr:colOff>447386</xdr:colOff>
      <xdr:row>51</xdr:row>
      <xdr:rowOff>72158</xdr:rowOff>
    </xdr:from>
    <xdr:to>
      <xdr:col>19</xdr:col>
      <xdr:colOff>44568</xdr:colOff>
      <xdr:row>66</xdr:row>
      <xdr:rowOff>121308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24D1C2F-D6B6-A1F7-6E4C-C9960FF39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86591" y="10376476"/>
          <a:ext cx="2887636" cy="3079832"/>
        </a:xfrm>
        <a:prstGeom prst="rect">
          <a:avLst/>
        </a:prstGeom>
      </xdr:spPr>
    </xdr:pic>
    <xdr:clientData/>
  </xdr:twoCellAnchor>
  <xdr:twoCellAnchor>
    <xdr:from>
      <xdr:col>14</xdr:col>
      <xdr:colOff>274204</xdr:colOff>
      <xdr:row>72</xdr:row>
      <xdr:rowOff>86591</xdr:rowOff>
    </xdr:from>
    <xdr:to>
      <xdr:col>19</xdr:col>
      <xdr:colOff>733136</xdr:colOff>
      <xdr:row>86</xdr:row>
      <xdr:rowOff>1155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CC01A936-A973-4A3A-9B8A-CD730CDAB1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14</xdr:col>
      <xdr:colOff>367885</xdr:colOff>
      <xdr:row>67</xdr:row>
      <xdr:rowOff>96034</xdr:rowOff>
    </xdr:from>
    <xdr:to>
      <xdr:col>20</xdr:col>
      <xdr:colOff>412534</xdr:colOff>
      <xdr:row>71</xdr:row>
      <xdr:rowOff>185683</xdr:rowOff>
    </xdr:to>
    <xdr:sp macro="" textlink="">
      <xdr:nvSpPr>
        <xdr:cNvPr id="30" name="Arrow: Right 29">
          <a:extLst>
            <a:ext uri="{FF2B5EF4-FFF2-40B4-BE49-F238E27FC236}">
              <a16:creationId xmlns:a16="http://schemas.microsoft.com/office/drawing/2014/main" id="{FC76319C-B6F1-CF2A-9A39-3C83E5CEAE72}"/>
            </a:ext>
          </a:extLst>
        </xdr:cNvPr>
        <xdr:cNvSpPr/>
      </xdr:nvSpPr>
      <xdr:spPr>
        <a:xfrm>
          <a:off x="11884476" y="13633079"/>
          <a:ext cx="4980331" cy="897831"/>
        </a:xfrm>
        <a:prstGeom prst="rightArrow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2000" b="1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RAW</a:t>
          </a:r>
          <a:r>
            <a:rPr lang="en-AU" sz="2000" b="1" baseline="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SALES</a:t>
          </a:r>
          <a:endParaRPr lang="en-AU" sz="2000" b="1"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 editAs="oneCell">
    <xdr:from>
      <xdr:col>9</xdr:col>
      <xdr:colOff>57726</xdr:colOff>
      <xdr:row>69</xdr:row>
      <xdr:rowOff>72159</xdr:rowOff>
    </xdr:from>
    <xdr:to>
      <xdr:col>12</xdr:col>
      <xdr:colOff>704518</xdr:colOff>
      <xdr:row>86</xdr:row>
      <xdr:rowOff>44016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EF27C6CE-AA0A-DBBA-96DD-24FD0EDBF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1249" y="14013295"/>
          <a:ext cx="3114633" cy="3406630"/>
        </a:xfrm>
        <a:prstGeom prst="rect">
          <a:avLst/>
        </a:prstGeom>
      </xdr:spPr>
    </xdr:pic>
    <xdr:clientData/>
  </xdr:twoCellAnchor>
  <xdr:twoCellAnchor editAs="oneCell">
    <xdr:from>
      <xdr:col>19</xdr:col>
      <xdr:colOff>317497</xdr:colOff>
      <xdr:row>49</xdr:row>
      <xdr:rowOff>102088</xdr:rowOff>
    </xdr:from>
    <xdr:to>
      <xdr:col>31</xdr:col>
      <xdr:colOff>464037</xdr:colOff>
      <xdr:row>88</xdr:row>
      <xdr:rowOff>65455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58E83DF2-51EA-4EED-DFB7-61AD5E665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4805" y="9675934"/>
          <a:ext cx="10111155" cy="75833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CEDABCB4-74B2-4207-8626-2A4C39E51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787" y="205921"/>
          <a:ext cx="644073" cy="621309"/>
        </a:xfrm>
        <a:prstGeom prst="rect">
          <a:avLst/>
        </a:prstGeom>
      </xdr:spPr>
    </xdr:pic>
    <xdr:clientData/>
  </xdr:twoCellAnchor>
  <xdr:twoCellAnchor editAs="oneCell">
    <xdr:from>
      <xdr:col>0</xdr:col>
      <xdr:colOff>103189</xdr:colOff>
      <xdr:row>14</xdr:row>
      <xdr:rowOff>54771</xdr:rowOff>
    </xdr:from>
    <xdr:to>
      <xdr:col>0</xdr:col>
      <xdr:colOff>730250</xdr:colOff>
      <xdr:row>17</xdr:row>
      <xdr:rowOff>127589</xdr:rowOff>
    </xdr:to>
    <xdr:pic>
      <xdr:nvPicPr>
        <xdr:cNvPr id="5" name="Picture 4" descr="question mark | Pixel Art Maker | ShopLook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C6265DB-433A-481D-AEF6-2092DF882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189" y="2810671"/>
          <a:ext cx="627061" cy="663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115092</xdr:rowOff>
    </xdr:from>
    <xdr:to>
      <xdr:col>0</xdr:col>
      <xdr:colOff>801688</xdr:colOff>
      <xdr:row>13</xdr:row>
      <xdr:rowOff>119061</xdr:rowOff>
    </xdr:to>
    <xdr:pic>
      <xdr:nvPicPr>
        <xdr:cNvPr id="6" name="Pictur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FD614F3-DC25-451E-9F5C-559242CB5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80442"/>
          <a:ext cx="801688" cy="397669"/>
        </a:xfrm>
        <a:prstGeom prst="rect">
          <a:avLst/>
        </a:prstGeom>
      </xdr:spPr>
    </xdr:pic>
    <xdr:clientData/>
  </xdr:twoCellAnchor>
  <xdr:twoCellAnchor editAs="oneCell">
    <xdr:from>
      <xdr:col>0</xdr:col>
      <xdr:colOff>174627</xdr:colOff>
      <xdr:row>8</xdr:row>
      <xdr:rowOff>150813</xdr:rowOff>
    </xdr:from>
    <xdr:to>
      <xdr:col>0</xdr:col>
      <xdr:colOff>615966</xdr:colOff>
      <xdr:row>10</xdr:row>
      <xdr:rowOff>195277</xdr:rowOff>
    </xdr:to>
    <xdr:pic>
      <xdr:nvPicPr>
        <xdr:cNvPr id="7" name="Pictur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62EDDFE-2BE0-4317-87CE-4FE9DC686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627" y="1725613"/>
          <a:ext cx="441339" cy="438164"/>
        </a:xfrm>
        <a:prstGeom prst="rect">
          <a:avLst/>
        </a:prstGeom>
      </xdr:spPr>
    </xdr:pic>
    <xdr:clientData/>
  </xdr:twoCellAnchor>
  <xdr:twoCellAnchor editAs="oneCell">
    <xdr:from>
      <xdr:col>0</xdr:col>
      <xdr:colOff>95251</xdr:colOff>
      <xdr:row>5</xdr:row>
      <xdr:rowOff>11245</xdr:rowOff>
    </xdr:from>
    <xdr:to>
      <xdr:col>0</xdr:col>
      <xdr:colOff>722313</xdr:colOff>
      <xdr:row>8</xdr:row>
      <xdr:rowOff>42995</xdr:rowOff>
    </xdr:to>
    <xdr:pic>
      <xdr:nvPicPr>
        <xdr:cNvPr id="8" name="Picture 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31A7D37-4FC1-4B01-8A37-C8CC77AB3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995495"/>
          <a:ext cx="627062" cy="622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A0147416-BFCD-475C-BA2C-13A853B52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787" y="205921"/>
          <a:ext cx="644073" cy="621309"/>
        </a:xfrm>
        <a:prstGeom prst="rect">
          <a:avLst/>
        </a:prstGeom>
      </xdr:spPr>
    </xdr:pic>
    <xdr:clientData/>
  </xdr:twoCellAnchor>
  <xdr:twoCellAnchor editAs="oneCell">
    <xdr:from>
      <xdr:col>0</xdr:col>
      <xdr:colOff>103189</xdr:colOff>
      <xdr:row>14</xdr:row>
      <xdr:rowOff>54771</xdr:rowOff>
    </xdr:from>
    <xdr:to>
      <xdr:col>0</xdr:col>
      <xdr:colOff>730250</xdr:colOff>
      <xdr:row>17</xdr:row>
      <xdr:rowOff>127589</xdr:rowOff>
    </xdr:to>
    <xdr:pic>
      <xdr:nvPicPr>
        <xdr:cNvPr id="3" name="Picture 2" descr="question mark | Pixel Art Maker | ShopLook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F4D04E-0EF0-45E7-964B-682423C77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189" y="2810671"/>
          <a:ext cx="627061" cy="663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115092</xdr:rowOff>
    </xdr:from>
    <xdr:to>
      <xdr:col>0</xdr:col>
      <xdr:colOff>801688</xdr:colOff>
      <xdr:row>13</xdr:row>
      <xdr:rowOff>119061</xdr:rowOff>
    </xdr:to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57988DA-3879-46AE-AD12-A6F151194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80442"/>
          <a:ext cx="801688" cy="397669"/>
        </a:xfrm>
        <a:prstGeom prst="rect">
          <a:avLst/>
        </a:prstGeom>
      </xdr:spPr>
    </xdr:pic>
    <xdr:clientData/>
  </xdr:twoCellAnchor>
  <xdr:twoCellAnchor editAs="oneCell">
    <xdr:from>
      <xdr:col>0</xdr:col>
      <xdr:colOff>174627</xdr:colOff>
      <xdr:row>8</xdr:row>
      <xdr:rowOff>150813</xdr:rowOff>
    </xdr:from>
    <xdr:to>
      <xdr:col>0</xdr:col>
      <xdr:colOff>615966</xdr:colOff>
      <xdr:row>10</xdr:row>
      <xdr:rowOff>195277</xdr:rowOff>
    </xdr:to>
    <xdr:pic>
      <xdr:nvPicPr>
        <xdr:cNvPr id="5" name="Picture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23EB1DC-5F99-427E-8F96-B76BBE3F2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627" y="1725613"/>
          <a:ext cx="441339" cy="438164"/>
        </a:xfrm>
        <a:prstGeom prst="rect">
          <a:avLst/>
        </a:prstGeom>
      </xdr:spPr>
    </xdr:pic>
    <xdr:clientData/>
  </xdr:twoCellAnchor>
  <xdr:twoCellAnchor editAs="oneCell">
    <xdr:from>
      <xdr:col>0</xdr:col>
      <xdr:colOff>95251</xdr:colOff>
      <xdr:row>5</xdr:row>
      <xdr:rowOff>11245</xdr:rowOff>
    </xdr:from>
    <xdr:to>
      <xdr:col>0</xdr:col>
      <xdr:colOff>722313</xdr:colOff>
      <xdr:row>8</xdr:row>
      <xdr:rowOff>42995</xdr:rowOff>
    </xdr:to>
    <xdr:pic>
      <xdr:nvPicPr>
        <xdr:cNvPr id="6" name="Picture 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794011D-20B1-4C67-80AB-105B1F5E3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995495"/>
          <a:ext cx="627062" cy="622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tabSelected="1" zoomScale="36" zoomScaleNormal="80" workbookViewId="0"/>
  </sheetViews>
  <sheetFormatPr defaultColWidth="10.83203125" defaultRowHeight="15.5" x14ac:dyDescent="0.35"/>
  <cols>
    <col min="1" max="1" width="10.83203125" style="1"/>
    <col min="2" max="16384" width="10.8320312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showGridLines="0" zoomScale="72" zoomScaleNormal="100" workbookViewId="0">
      <selection sqref="A1:A1048576"/>
    </sheetView>
  </sheetViews>
  <sheetFormatPr defaultColWidth="11.1640625" defaultRowHeight="15.5" x14ac:dyDescent="0.35"/>
  <cols>
    <col min="1" max="1" width="10.83203125" style="1"/>
    <col min="2" max="2" width="4" customWidth="1"/>
    <col min="3" max="3" width="14.08203125" customWidth="1"/>
    <col min="4" max="4" width="8.6640625" customWidth="1"/>
    <col min="5" max="5" width="10.1640625" customWidth="1"/>
    <col min="7" max="7" width="12.33203125" customWidth="1"/>
    <col min="9" max="9" width="11.1640625" customWidth="1"/>
    <col min="10" max="10" width="20.58203125" customWidth="1"/>
  </cols>
  <sheetData>
    <row r="2" spans="3:11" x14ac:dyDescent="0.35">
      <c r="C2" s="11" t="s">
        <v>53</v>
      </c>
      <c r="D2" s="11"/>
      <c r="E2" s="11"/>
      <c r="F2" s="11"/>
      <c r="G2" s="11"/>
      <c r="H2" s="11"/>
      <c r="I2" s="11"/>
      <c r="J2" s="11"/>
    </row>
    <row r="4" spans="3:11" x14ac:dyDescent="0.35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1" x14ac:dyDescent="0.35">
      <c r="C5" t="s">
        <v>47</v>
      </c>
      <c r="D5" s="12">
        <v>2543.9</v>
      </c>
      <c r="F5" t="s">
        <v>47</v>
      </c>
      <c r="G5" s="13">
        <v>890.36500000000001</v>
      </c>
      <c r="I5" t="s">
        <v>47</v>
      </c>
      <c r="J5" s="9">
        <v>87</v>
      </c>
    </row>
    <row r="6" spans="3:11" x14ac:dyDescent="0.35">
      <c r="C6" t="s">
        <v>48</v>
      </c>
      <c r="D6" s="12">
        <v>3000</v>
      </c>
      <c r="F6" t="s">
        <v>48</v>
      </c>
      <c r="G6" s="13">
        <v>1000</v>
      </c>
      <c r="I6" t="s">
        <v>48</v>
      </c>
      <c r="J6" s="9">
        <v>100</v>
      </c>
    </row>
    <row r="7" spans="3:11" x14ac:dyDescent="0.35">
      <c r="C7" t="s">
        <v>51</v>
      </c>
      <c r="D7" s="10">
        <f>D5/D6</f>
        <v>0.84796666666666665</v>
      </c>
      <c r="F7" t="s">
        <v>51</v>
      </c>
      <c r="G7" s="10">
        <f>G5/G6</f>
        <v>0.89036499999999996</v>
      </c>
      <c r="I7" t="s">
        <v>51</v>
      </c>
      <c r="J7" s="10">
        <f>J5/J6</f>
        <v>0.87</v>
      </c>
    </row>
    <row r="8" spans="3:11" x14ac:dyDescent="0.35">
      <c r="C8" t="s">
        <v>52</v>
      </c>
      <c r="D8" s="10">
        <f>100%-D7</f>
        <v>0.15203333333333335</v>
      </c>
      <c r="F8" t="s">
        <v>52</v>
      </c>
      <c r="G8" s="10">
        <f>100%-G7</f>
        <v>0.10963500000000004</v>
      </c>
      <c r="I8" t="s">
        <v>52</v>
      </c>
      <c r="J8" s="10">
        <f>100%-J7</f>
        <v>0.13</v>
      </c>
    </row>
    <row r="10" spans="3:11" x14ac:dyDescent="0.35">
      <c r="C10" s="11" t="s">
        <v>54</v>
      </c>
      <c r="D10" s="11"/>
      <c r="E10" s="11"/>
      <c r="F10" s="11"/>
      <c r="G10" s="11"/>
      <c r="H10" s="11"/>
      <c r="J10" s="11" t="s">
        <v>20</v>
      </c>
      <c r="K10" s="11"/>
    </row>
    <row r="12" spans="3:11" x14ac:dyDescent="0.35">
      <c r="C12" s="4" t="s">
        <v>8</v>
      </c>
      <c r="D12" s="4">
        <v>2021</v>
      </c>
      <c r="E12" s="4">
        <v>2022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1" x14ac:dyDescent="0.35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29</v>
      </c>
      <c r="K13" s="7">
        <v>0.54</v>
      </c>
    </row>
    <row r="14" spans="3:11" x14ac:dyDescent="0.35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28</v>
      </c>
      <c r="K14" s="7">
        <v>0.86</v>
      </c>
    </row>
    <row r="15" spans="3:11" x14ac:dyDescent="0.35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27</v>
      </c>
      <c r="K15" s="7">
        <v>0.93</v>
      </c>
    </row>
    <row r="16" spans="3:11" x14ac:dyDescent="0.35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35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35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35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35">
      <c r="C20" t="s">
        <v>15</v>
      </c>
      <c r="D20">
        <v>186.3</v>
      </c>
      <c r="E20">
        <v>200.6</v>
      </c>
    </row>
    <row r="21" spans="3:11" x14ac:dyDescent="0.35">
      <c r="C21" t="s">
        <v>16</v>
      </c>
      <c r="D21">
        <v>194.2</v>
      </c>
      <c r="E21">
        <v>210.6</v>
      </c>
    </row>
    <row r="22" spans="3:11" x14ac:dyDescent="0.35">
      <c r="C22" t="s">
        <v>17</v>
      </c>
      <c r="D22">
        <v>199</v>
      </c>
      <c r="E22">
        <v>216.4</v>
      </c>
    </row>
    <row r="23" spans="3:11" x14ac:dyDescent="0.35">
      <c r="C23" t="s">
        <v>18</v>
      </c>
      <c r="D23">
        <v>205.2</v>
      </c>
      <c r="E23">
        <v>222.3</v>
      </c>
    </row>
    <row r="24" spans="3:11" x14ac:dyDescent="0.35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>
      <selection sqref="A1:A1048576"/>
    </sheetView>
  </sheetViews>
  <sheetFormatPr defaultRowHeight="15.5" x14ac:dyDescent="0.35"/>
  <cols>
    <col min="1" max="1" width="10.83203125" style="1"/>
    <col min="2" max="2" width="4.33203125" customWidth="1"/>
    <col min="4" max="4" width="16.58203125" customWidth="1"/>
    <col min="5" max="5" width="25" bestFit="1" customWidth="1"/>
  </cols>
  <sheetData>
    <row r="2" spans="1:5" s="3" customFormat="1" x14ac:dyDescent="0.35">
      <c r="A2" s="1"/>
      <c r="C2" s="5" t="s">
        <v>0</v>
      </c>
      <c r="D2" s="5" t="s">
        <v>30</v>
      </c>
      <c r="E2" s="5" t="s">
        <v>31</v>
      </c>
    </row>
    <row r="3" spans="1:5" x14ac:dyDescent="0.35">
      <c r="C3" t="s">
        <v>1</v>
      </c>
      <c r="D3" t="s">
        <v>32</v>
      </c>
      <c r="E3" s="8" t="s">
        <v>39</v>
      </c>
    </row>
    <row r="4" spans="1:5" x14ac:dyDescent="0.35">
      <c r="C4" t="s">
        <v>4</v>
      </c>
      <c r="D4" t="s">
        <v>33</v>
      </c>
      <c r="E4" s="8" t="s">
        <v>40</v>
      </c>
    </row>
    <row r="5" spans="1:5" x14ac:dyDescent="0.35">
      <c r="C5" t="s">
        <v>22</v>
      </c>
      <c r="D5" t="s">
        <v>34</v>
      </c>
      <c r="E5" s="8" t="s">
        <v>41</v>
      </c>
    </row>
    <row r="6" spans="1:5" x14ac:dyDescent="0.35">
      <c r="C6" t="s">
        <v>5</v>
      </c>
      <c r="D6" t="s">
        <v>35</v>
      </c>
      <c r="E6" s="8" t="s">
        <v>42</v>
      </c>
    </row>
    <row r="7" spans="1:5" x14ac:dyDescent="0.35">
      <c r="C7" t="s">
        <v>6</v>
      </c>
      <c r="D7" t="s">
        <v>36</v>
      </c>
      <c r="E7" s="8" t="s">
        <v>43</v>
      </c>
    </row>
    <row r="8" spans="1:5" x14ac:dyDescent="0.35">
      <c r="C8" t="s">
        <v>3</v>
      </c>
      <c r="D8" t="s">
        <v>37</v>
      </c>
      <c r="E8" s="8" t="s">
        <v>44</v>
      </c>
    </row>
    <row r="9" spans="1:5" x14ac:dyDescent="0.35">
      <c r="C9" t="s">
        <v>2</v>
      </c>
      <c r="D9" t="s">
        <v>38</v>
      </c>
      <c r="E9" s="8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Evan Sariego</cp:lastModifiedBy>
  <dcterms:created xsi:type="dcterms:W3CDTF">2023-01-30T08:37:14Z</dcterms:created>
  <dcterms:modified xsi:type="dcterms:W3CDTF">2026-01-26T07:25:37Z</dcterms:modified>
</cp:coreProperties>
</file>