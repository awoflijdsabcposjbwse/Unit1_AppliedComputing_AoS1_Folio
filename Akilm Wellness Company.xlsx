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703\Downloads\"/>
    </mc:Choice>
  </mc:AlternateContent>
  <xr:revisionPtr revIDLastSave="0" documentId="13_ncr:1_{58360869-2FF2-4C48-BC43-9CED2EC86F17}" xr6:coauthVersionLast="47" xr6:coauthVersionMax="47" xr10:uidLastSave="{00000000-0000-0000-0000-000000000000}"/>
  <bookViews>
    <workbookView xWindow="-110" yWindow="-110" windowWidth="19420" windowHeight="10300" xr2:uid="{24217BFE-7DE6-4323-81A5-735A301F3875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  <c r="G23" i="1"/>
  <c r="H23" i="1" s="1"/>
  <c r="I23" i="1" s="1"/>
  <c r="G22" i="1"/>
  <c r="H22" i="1" s="1"/>
  <c r="I22" i="1" s="1"/>
  <c r="G21" i="1"/>
  <c r="H21" i="1" s="1"/>
  <c r="I21" i="1" s="1"/>
  <c r="G20" i="1"/>
  <c r="H20" i="1" s="1"/>
  <c r="I20" i="1" s="1"/>
  <c r="G19" i="1"/>
  <c r="G18" i="1"/>
  <c r="H18" i="1" s="1"/>
  <c r="I18" i="1" s="1"/>
  <c r="G17" i="1"/>
  <c r="H17" i="1" s="1"/>
  <c r="G16" i="1"/>
  <c r="H16" i="1" s="1"/>
  <c r="I16" i="1" s="1"/>
  <c r="G14" i="1"/>
  <c r="H14" i="1" s="1"/>
  <c r="G15" i="1"/>
  <c r="H15" i="1" s="1"/>
  <c r="I15" i="1" s="1"/>
  <c r="H24" i="1"/>
  <c r="H19" i="1" l="1"/>
  <c r="I19" i="1" s="1"/>
  <c r="I24" i="1"/>
  <c r="I17" i="1"/>
  <c r="I14" i="1"/>
</calcChain>
</file>

<file path=xl/sharedStrings.xml><?xml version="1.0" encoding="utf-8"?>
<sst xmlns="http://schemas.openxmlformats.org/spreadsheetml/2006/main" count="67" uniqueCount="34">
  <si>
    <t>Services</t>
  </si>
  <si>
    <t xml:space="preserve">30 mins follow up physio appointment </t>
  </si>
  <si>
    <t>60 mins initial physio appointment</t>
  </si>
  <si>
    <t xml:space="preserve">60 mins naturopathy appointment </t>
  </si>
  <si>
    <t>45 mins remedial massage</t>
  </si>
  <si>
    <t>60 mins remedial massage</t>
  </si>
  <si>
    <t>Service Pricing</t>
  </si>
  <si>
    <t>Products</t>
  </si>
  <si>
    <t>Heat packs</t>
  </si>
  <si>
    <t>Muscle cramp oils</t>
  </si>
  <si>
    <t>Gut health powder (200g)</t>
  </si>
  <si>
    <t>Gut health powder (400g)</t>
  </si>
  <si>
    <t>Names</t>
  </si>
  <si>
    <t xml:space="preserve">Susan, Smith </t>
  </si>
  <si>
    <t>Brandon, Banaa</t>
  </si>
  <si>
    <t>Dorik, Danger</t>
  </si>
  <si>
    <t>Esmerelda, Esperza</t>
  </si>
  <si>
    <t>Takina, Takuna</t>
  </si>
  <si>
    <t>Samson, Smyte</t>
  </si>
  <si>
    <t>Michael, Martin</t>
  </si>
  <si>
    <t>Luka, Lion</t>
  </si>
  <si>
    <t>Harry, Hairs</t>
  </si>
  <si>
    <t>Rafael, Rafiki</t>
  </si>
  <si>
    <t>Felix, Cat</t>
  </si>
  <si>
    <t>Service</t>
  </si>
  <si>
    <t>Service Price</t>
  </si>
  <si>
    <t>QTY</t>
  </si>
  <si>
    <t>Product Price</t>
  </si>
  <si>
    <t>Subtotal</t>
  </si>
  <si>
    <t>GST</t>
  </si>
  <si>
    <t>TOTAL</t>
  </si>
  <si>
    <t>Service Popularity</t>
  </si>
  <si>
    <t xml:space="preserve">Service </t>
  </si>
  <si>
    <t>Product popularity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</si>
</sst>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DLaM Display"/>
    </font>
    <font>
      <sz val="11"/>
      <color theme="1"/>
      <name val="ADLaM Display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0" fillId="2" borderId="0" xfId="0" applyFill="1"/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0" borderId="0" xfId="0" applyFont="1"/>
    <xf numFmtId="0" fontId="2" fillId="3" borderId="0" xfId="0" applyFont="1" applyFill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Service Popularity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Sheet2!$A$2:$A$6</c:f>
              <c:strCache>
                <c:ptCount val="5"/>
                <c:pt idx="0">
                  <c:v>30 mins follow up physio appointment </c:v>
                </c:pt>
                <c:pt idx="1">
                  <c:v>60 mins initial physio appointment</c:v>
                </c:pt>
                <c:pt idx="2">
                  <c:v>60 mins naturopathy appointment </c:v>
                </c:pt>
                <c:pt idx="3">
                  <c:v>45 mins remedial massage</c:v>
                </c:pt>
                <c:pt idx="4">
                  <c:v>60 mins remedial massage</c:v>
                </c:pt>
              </c:strCache>
            </c:strRef>
          </c:cat>
          <c:val>
            <c:numRef>
              <c:f>Sheet2!$B$2:$B$6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2B-4597-B1A5-ACF6B5206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8619583"/>
        <c:axId val="578620063"/>
      </c:barChart>
      <c:catAx>
        <c:axId val="578619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620063"/>
        <c:crosses val="autoZero"/>
        <c:auto val="1"/>
        <c:lblAlgn val="ctr"/>
        <c:lblOffset val="100"/>
        <c:noMultiLvlLbl val="0"/>
      </c:catAx>
      <c:valAx>
        <c:axId val="57862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619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Product popularity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Sheet3!$A$2:$A$5</c:f>
              <c:strCache>
                <c:ptCount val="4"/>
                <c:pt idx="0">
                  <c:v>Muscle cramp oils</c:v>
                </c:pt>
                <c:pt idx="1">
                  <c:v>Heat packs</c:v>
                </c:pt>
                <c:pt idx="2">
                  <c:v>Gut health powder (200g)</c:v>
                </c:pt>
                <c:pt idx="3">
                  <c:v>Gut health powder (400g)</c:v>
                </c:pt>
              </c:strCache>
            </c:strRef>
          </c:cat>
          <c:val>
            <c:numRef>
              <c:f>Sheet3!$B$2:$B$5</c:f>
              <c:numCache>
                <c:formatCode>General</c:formatCode>
                <c:ptCount val="4"/>
                <c:pt idx="0">
                  <c:v>14</c:v>
                </c:pt>
                <c:pt idx="1">
                  <c:v>3</c:v>
                </c:pt>
                <c:pt idx="2">
                  <c:v>5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AC-4B30-A7F3-214CEA80F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6506463"/>
        <c:axId val="476500223"/>
      </c:barChart>
      <c:catAx>
        <c:axId val="476506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500223"/>
        <c:crosses val="autoZero"/>
        <c:auto val="1"/>
        <c:lblAlgn val="ctr"/>
        <c:lblOffset val="100"/>
        <c:noMultiLvlLbl val="0"/>
      </c:catAx>
      <c:valAx>
        <c:axId val="47650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506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9</xdr:row>
      <xdr:rowOff>31750</xdr:rowOff>
    </xdr:from>
    <xdr:to>
      <xdr:col>3</xdr:col>
      <xdr:colOff>603250</xdr:colOff>
      <xdr:row>11</xdr:row>
      <xdr:rowOff>6350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4429FA5-C84A-C3E6-47B3-1F3F86A87218}"/>
            </a:ext>
          </a:extLst>
        </xdr:cNvPr>
        <xdr:cNvSpPr/>
      </xdr:nvSpPr>
      <xdr:spPr>
        <a:xfrm>
          <a:off x="44450" y="1778000"/>
          <a:ext cx="75819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oneCellAnchor>
    <xdr:from>
      <xdr:col>0</xdr:col>
      <xdr:colOff>1855179</xdr:colOff>
      <xdr:row>9</xdr:row>
      <xdr:rowOff>12700</xdr:rowOff>
    </xdr:from>
    <xdr:ext cx="3966792" cy="335496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78A63A6-5823-3874-70CC-4C549E3E8426}"/>
            </a:ext>
          </a:extLst>
        </xdr:cNvPr>
        <xdr:cNvSpPr/>
      </xdr:nvSpPr>
      <xdr:spPr>
        <a:xfrm>
          <a:off x="1855179" y="1758950"/>
          <a:ext cx="3966792" cy="335496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Customer</a:t>
          </a:r>
          <a:r>
            <a:rPr lang="en-US" sz="16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Purchases</a:t>
          </a:r>
          <a:endParaRPr lang="en-US" sz="1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oneCellAnchor>
  <xdr:twoCellAnchor editAs="oneCell">
    <xdr:from>
      <xdr:col>5</xdr:col>
      <xdr:colOff>442087</xdr:colOff>
      <xdr:row>3</xdr:row>
      <xdr:rowOff>43404</xdr:rowOff>
    </xdr:from>
    <xdr:to>
      <xdr:col>7</xdr:col>
      <xdr:colOff>71693</xdr:colOff>
      <xdr:row>9</xdr:row>
      <xdr:rowOff>172734</xdr:rowOff>
    </xdr:to>
    <xdr:pic>
      <xdr:nvPicPr>
        <xdr:cNvPr id="5" name="Picture 4" descr="a clean, modern navy and black logo for a company named Akilm Wellness, featuring minimalistic wellness-inspired shapes and balanced typography">
          <a:extLst>
            <a:ext uri="{FF2B5EF4-FFF2-40B4-BE49-F238E27FC236}">
              <a16:creationId xmlns:a16="http://schemas.microsoft.com/office/drawing/2014/main" id="{7F490D11-BD54-A51D-A70A-62C461AC0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5071" y="627194"/>
          <a:ext cx="1278557" cy="1276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422275</xdr:colOff>
      <xdr:row>2</xdr:row>
      <xdr:rowOff>133350</xdr:rowOff>
    </xdr:from>
    <xdr:to>
      <xdr:col>10</xdr:col>
      <xdr:colOff>117475</xdr:colOff>
      <xdr:row>17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A0E27D-47CF-9544-2EA2-39549FFC04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492125</xdr:colOff>
      <xdr:row>2</xdr:row>
      <xdr:rowOff>82550</xdr:rowOff>
    </xdr:from>
    <xdr:to>
      <xdr:col>10</xdr:col>
      <xdr:colOff>187325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8633D8-C768-6AA1-7978-C031F742CF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F5FE0-D741-4C24-AC31-3D194393D54D}">
  <dimension ref="A1:I24"/>
  <sheetViews>
    <sheetView tabSelected="1" topLeftCell="A7" zoomScale="62" zoomScaleNormal="100" workbookViewId="0">
      <selection activeCell="J10" sqref="J10"/>
    </sheetView>
  </sheetViews>
  <sheetFormatPr defaultRowHeight="14.5" x14ac:dyDescent="0.35"/>
  <cols>
    <col min="1" max="1" width="52.08984375" customWidth="1"/>
    <col min="2" max="2" width="39.6328125" customWidth="1"/>
    <col min="3" max="3" width="26.1796875" customWidth="1"/>
    <col min="4" max="4" width="14.453125" style="7" customWidth="1"/>
    <col min="6" max="6" width="14.1796875" customWidth="1"/>
    <col min="7" max="7" width="9.36328125" customWidth="1"/>
  </cols>
  <sheetData>
    <row r="1" spans="1:9" s="4" customFormat="1" ht="15.5" x14ac:dyDescent="0.4">
      <c r="A1" s="2" t="s">
        <v>0</v>
      </c>
      <c r="B1" s="2" t="s">
        <v>6</v>
      </c>
      <c r="C1" s="2" t="s">
        <v>7</v>
      </c>
      <c r="D1" s="6"/>
      <c r="E1" s="3"/>
    </row>
    <row r="2" spans="1:9" ht="15.5" x14ac:dyDescent="0.4">
      <c r="A2" s="1" t="s">
        <v>1</v>
      </c>
      <c r="B2" s="1">
        <v>50</v>
      </c>
      <c r="C2" s="1" t="s">
        <v>8</v>
      </c>
      <c r="D2" s="5">
        <v>10.5</v>
      </c>
      <c r="E2" s="1"/>
    </row>
    <row r="3" spans="1:9" ht="15.5" x14ac:dyDescent="0.4">
      <c r="A3" s="1" t="s">
        <v>2</v>
      </c>
      <c r="B3" s="1">
        <v>85</v>
      </c>
      <c r="C3" s="1" t="s">
        <v>9</v>
      </c>
      <c r="D3" s="5">
        <v>35</v>
      </c>
      <c r="E3" s="1"/>
    </row>
    <row r="4" spans="1:9" ht="15.5" x14ac:dyDescent="0.4">
      <c r="A4" s="1" t="s">
        <v>3</v>
      </c>
      <c r="B4" s="1">
        <v>150</v>
      </c>
      <c r="C4" s="1" t="s">
        <v>10</v>
      </c>
      <c r="D4" s="5">
        <v>45.8</v>
      </c>
      <c r="E4" s="1"/>
    </row>
    <row r="5" spans="1:9" ht="15.5" x14ac:dyDescent="0.4">
      <c r="A5" s="1" t="s">
        <v>4</v>
      </c>
      <c r="B5" s="1">
        <v>65</v>
      </c>
      <c r="C5" s="1" t="s">
        <v>11</v>
      </c>
      <c r="D5" s="5">
        <v>80</v>
      </c>
      <c r="E5" s="1"/>
    </row>
    <row r="6" spans="1:9" ht="15.5" x14ac:dyDescent="0.4">
      <c r="A6" s="1" t="s">
        <v>5</v>
      </c>
      <c r="B6" s="1">
        <v>90</v>
      </c>
      <c r="C6" s="1"/>
      <c r="D6" s="5"/>
      <c r="E6" s="1"/>
    </row>
    <row r="7" spans="1:9" ht="15.5" x14ac:dyDescent="0.4">
      <c r="A7" s="1"/>
      <c r="B7" s="1"/>
      <c r="C7" s="1"/>
      <c r="D7" s="5"/>
      <c r="E7" s="1"/>
    </row>
    <row r="13" spans="1:9" ht="15.5" x14ac:dyDescent="0.4">
      <c r="A13" s="1" t="s">
        <v>12</v>
      </c>
      <c r="B13" s="1" t="s">
        <v>24</v>
      </c>
      <c r="C13" s="1" t="s">
        <v>25</v>
      </c>
      <c r="D13" s="5" t="s">
        <v>7</v>
      </c>
      <c r="E13" s="1" t="s">
        <v>26</v>
      </c>
      <c r="F13" s="1" t="s">
        <v>27</v>
      </c>
      <c r="G13" s="1" t="s">
        <v>28</v>
      </c>
      <c r="H13" s="1" t="s">
        <v>29</v>
      </c>
      <c r="I13" s="1" t="s">
        <v>30</v>
      </c>
    </row>
    <row r="14" spans="1:9" ht="15.5" x14ac:dyDescent="0.4">
      <c r="A14" s="1" t="s">
        <v>13</v>
      </c>
      <c r="B14" s="1" t="s">
        <v>1</v>
      </c>
      <c r="C14" s="1">
        <v>50</v>
      </c>
      <c r="D14" s="5" t="s">
        <v>8</v>
      </c>
      <c r="E14" s="1">
        <v>1</v>
      </c>
      <c r="F14" s="1">
        <v>10.5</v>
      </c>
      <c r="G14" s="1">
        <f t="shared" ref="G14:G24" si="0">E14*F14+C14</f>
        <v>60.5</v>
      </c>
      <c r="H14" s="1">
        <f t="shared" ref="H14:H24" si="1">G14*0.1</f>
        <v>6.0500000000000007</v>
      </c>
      <c r="I14" s="1">
        <f>G14+H14</f>
        <v>66.55</v>
      </c>
    </row>
    <row r="15" spans="1:9" ht="31" x14ac:dyDescent="0.4">
      <c r="A15" s="1" t="s">
        <v>14</v>
      </c>
      <c r="B15" s="1" t="s">
        <v>2</v>
      </c>
      <c r="C15" s="1">
        <v>85</v>
      </c>
      <c r="D15" s="5" t="s">
        <v>9</v>
      </c>
      <c r="E15" s="1">
        <v>3</v>
      </c>
      <c r="F15" s="1">
        <v>35</v>
      </c>
      <c r="G15" s="1">
        <f t="shared" si="0"/>
        <v>190</v>
      </c>
      <c r="H15" s="1">
        <f t="shared" si="1"/>
        <v>19</v>
      </c>
      <c r="I15" s="1">
        <f>G15+H15</f>
        <v>209</v>
      </c>
    </row>
    <row r="16" spans="1:9" ht="46.5" x14ac:dyDescent="0.4">
      <c r="A16" s="1" t="s">
        <v>15</v>
      </c>
      <c r="B16" s="1" t="s">
        <v>3</v>
      </c>
      <c r="C16" s="1">
        <v>150</v>
      </c>
      <c r="D16" s="5" t="s">
        <v>10</v>
      </c>
      <c r="E16" s="1">
        <v>1</v>
      </c>
      <c r="F16" s="1">
        <v>45.8</v>
      </c>
      <c r="G16" s="1">
        <f t="shared" si="0"/>
        <v>195.8</v>
      </c>
      <c r="H16" s="1">
        <f t="shared" si="1"/>
        <v>19.580000000000002</v>
      </c>
      <c r="I16" s="1">
        <f>G16+H16</f>
        <v>215.38000000000002</v>
      </c>
    </row>
    <row r="17" spans="1:9" ht="46.5" x14ac:dyDescent="0.4">
      <c r="A17" s="1" t="s">
        <v>16</v>
      </c>
      <c r="B17" s="1" t="s">
        <v>4</v>
      </c>
      <c r="C17" s="1">
        <v>65</v>
      </c>
      <c r="D17" s="5" t="s">
        <v>11</v>
      </c>
      <c r="E17" s="1">
        <v>2</v>
      </c>
      <c r="F17" s="1">
        <v>80</v>
      </c>
      <c r="G17" s="1">
        <f t="shared" si="0"/>
        <v>225</v>
      </c>
      <c r="H17" s="1">
        <f t="shared" si="1"/>
        <v>22.5</v>
      </c>
      <c r="I17" s="1">
        <f>G17+H17</f>
        <v>247.5</v>
      </c>
    </row>
    <row r="18" spans="1:9" ht="31" x14ac:dyDescent="0.4">
      <c r="A18" s="9" t="s">
        <v>17</v>
      </c>
      <c r="B18" s="1" t="s">
        <v>5</v>
      </c>
      <c r="C18" s="1">
        <v>90</v>
      </c>
      <c r="D18" s="5" t="s">
        <v>9</v>
      </c>
      <c r="E18" s="1">
        <v>5</v>
      </c>
      <c r="F18" s="1">
        <v>35</v>
      </c>
      <c r="G18" s="1">
        <f t="shared" si="0"/>
        <v>265</v>
      </c>
      <c r="H18" s="1">
        <f t="shared" si="1"/>
        <v>26.5</v>
      </c>
      <c r="I18" s="1">
        <f>H18+G18</f>
        <v>291.5</v>
      </c>
    </row>
    <row r="19" spans="1:9" ht="46.5" x14ac:dyDescent="0.4">
      <c r="A19" s="1" t="s">
        <v>18</v>
      </c>
      <c r="B19" s="1" t="s">
        <v>2</v>
      </c>
      <c r="C19" s="1">
        <v>85</v>
      </c>
      <c r="D19" s="5" t="s">
        <v>10</v>
      </c>
      <c r="E19" s="1">
        <v>2</v>
      </c>
      <c r="F19" s="1">
        <v>45.8</v>
      </c>
      <c r="G19" s="1">
        <f t="shared" si="0"/>
        <v>176.6</v>
      </c>
      <c r="H19" s="1">
        <f t="shared" si="1"/>
        <v>17.66</v>
      </c>
      <c r="I19" s="1">
        <f>G19+H19</f>
        <v>194.26</v>
      </c>
    </row>
    <row r="20" spans="1:9" ht="46.5" x14ac:dyDescent="0.4">
      <c r="A20" s="1" t="s">
        <v>19</v>
      </c>
      <c r="B20" s="1" t="s">
        <v>4</v>
      </c>
      <c r="C20" s="1">
        <v>65</v>
      </c>
      <c r="D20" s="5" t="s">
        <v>11</v>
      </c>
      <c r="E20" s="1">
        <v>1</v>
      </c>
      <c r="F20" s="1">
        <v>80</v>
      </c>
      <c r="G20" s="1">
        <f t="shared" si="0"/>
        <v>145</v>
      </c>
      <c r="H20" s="1">
        <f t="shared" si="1"/>
        <v>14.5</v>
      </c>
      <c r="I20" s="1">
        <f>G20+H20</f>
        <v>159.5</v>
      </c>
    </row>
    <row r="21" spans="1:9" ht="31" x14ac:dyDescent="0.4">
      <c r="A21" s="9" t="s">
        <v>20</v>
      </c>
      <c r="B21" s="1" t="s">
        <v>3</v>
      </c>
      <c r="C21" s="1">
        <v>150</v>
      </c>
      <c r="D21" s="5" t="s">
        <v>9</v>
      </c>
      <c r="E21" s="1">
        <v>6</v>
      </c>
      <c r="F21" s="1">
        <v>35</v>
      </c>
      <c r="G21" s="1">
        <f t="shared" si="0"/>
        <v>360</v>
      </c>
      <c r="H21" s="1">
        <f t="shared" si="1"/>
        <v>36</v>
      </c>
      <c r="I21" s="1">
        <f>G21+H21</f>
        <v>396</v>
      </c>
    </row>
    <row r="22" spans="1:9" ht="15.5" x14ac:dyDescent="0.4">
      <c r="A22" s="1" t="s">
        <v>21</v>
      </c>
      <c r="B22" s="1" t="s">
        <v>4</v>
      </c>
      <c r="C22" s="1">
        <v>65</v>
      </c>
      <c r="D22" s="5" t="s">
        <v>8</v>
      </c>
      <c r="E22" s="1">
        <v>2</v>
      </c>
      <c r="F22" s="1">
        <v>10.5</v>
      </c>
      <c r="G22" s="1">
        <f t="shared" si="0"/>
        <v>86</v>
      </c>
      <c r="H22" s="1">
        <f t="shared" si="1"/>
        <v>8.6</v>
      </c>
      <c r="I22" s="1">
        <f>H22+G22</f>
        <v>94.6</v>
      </c>
    </row>
    <row r="23" spans="1:9" ht="31" x14ac:dyDescent="0.4">
      <c r="A23" s="1" t="s">
        <v>22</v>
      </c>
      <c r="B23" s="1" t="s">
        <v>5</v>
      </c>
      <c r="C23" s="1">
        <v>90</v>
      </c>
      <c r="D23" s="5" t="s">
        <v>9</v>
      </c>
      <c r="E23" s="1">
        <v>1</v>
      </c>
      <c r="F23" s="1">
        <v>35</v>
      </c>
      <c r="G23" s="1">
        <f t="shared" si="0"/>
        <v>125</v>
      </c>
      <c r="H23" s="1">
        <f t="shared" si="1"/>
        <v>12.5</v>
      </c>
      <c r="I23" s="1">
        <f>G23+H23</f>
        <v>137.5</v>
      </c>
    </row>
    <row r="24" spans="1:9" ht="46.5" x14ac:dyDescent="0.4">
      <c r="A24" s="1" t="s">
        <v>23</v>
      </c>
      <c r="B24" s="1" t="s">
        <v>2</v>
      </c>
      <c r="C24" s="1">
        <v>85</v>
      </c>
      <c r="D24" s="5" t="s">
        <v>10</v>
      </c>
      <c r="E24" s="1">
        <v>2</v>
      </c>
      <c r="F24" s="1">
        <v>45.8</v>
      </c>
      <c r="G24" s="1">
        <f t="shared" si="0"/>
        <v>176.6</v>
      </c>
      <c r="H24" s="1">
        <f t="shared" si="1"/>
        <v>17.66</v>
      </c>
      <c r="I24" s="1">
        <f>G24+H24</f>
        <v>194.26</v>
      </c>
    </row>
  </sheetData>
  <conditionalFormatting sqref="E14:E24">
    <cfRule type="cellIs" dxfId="1" priority="2" operator="lessThan">
      <formula>1</formula>
    </cfRule>
  </conditionalFormatting>
  <conditionalFormatting sqref="I14:I24">
    <cfRule type="cellIs" dxfId="0" priority="1" operator="greaterThan">
      <formula>250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FCCF8-323B-47E2-A9AF-36D19D454B10}">
  <dimension ref="A1:B6"/>
  <sheetViews>
    <sheetView workbookViewId="0">
      <selection activeCell="B6" sqref="A1:B6"/>
    </sheetView>
  </sheetViews>
  <sheetFormatPr defaultRowHeight="14.5" x14ac:dyDescent="0.35"/>
  <cols>
    <col min="1" max="1" width="31.90625" customWidth="1"/>
    <col min="2" max="2" width="21.7265625" customWidth="1"/>
  </cols>
  <sheetData>
    <row r="1" spans="1:2" x14ac:dyDescent="0.35">
      <c r="A1" t="s">
        <v>32</v>
      </c>
      <c r="B1" s="8" t="s">
        <v>31</v>
      </c>
    </row>
    <row r="2" spans="1:2" x14ac:dyDescent="0.35">
      <c r="A2" t="s">
        <v>1</v>
      </c>
      <c r="B2">
        <v>1</v>
      </c>
    </row>
    <row r="3" spans="1:2" x14ac:dyDescent="0.35">
      <c r="A3" t="s">
        <v>2</v>
      </c>
      <c r="B3">
        <v>3</v>
      </c>
    </row>
    <row r="4" spans="1:2" x14ac:dyDescent="0.35">
      <c r="A4" t="s">
        <v>3</v>
      </c>
      <c r="B4">
        <v>2</v>
      </c>
    </row>
    <row r="5" spans="1:2" x14ac:dyDescent="0.35">
      <c r="A5" t="s">
        <v>4</v>
      </c>
      <c r="B5">
        <v>3</v>
      </c>
    </row>
    <row r="6" spans="1:2" x14ac:dyDescent="0.35">
      <c r="A6" t="s">
        <v>5</v>
      </c>
      <c r="B6"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69AB4-9E81-4B39-83B9-945BA3E7F966}">
  <dimension ref="A1:B5"/>
  <sheetViews>
    <sheetView workbookViewId="0">
      <selection activeCell="B5" sqref="A1:B5"/>
    </sheetView>
  </sheetViews>
  <sheetFormatPr defaultRowHeight="14.5" x14ac:dyDescent="0.35"/>
  <cols>
    <col min="1" max="1" width="26.26953125" customWidth="1"/>
    <col min="2" max="2" width="18" customWidth="1"/>
  </cols>
  <sheetData>
    <row r="1" spans="1:2" x14ac:dyDescent="0.35">
      <c r="A1" t="s">
        <v>7</v>
      </c>
      <c r="B1" t="s">
        <v>33</v>
      </c>
    </row>
    <row r="2" spans="1:2" x14ac:dyDescent="0.35">
      <c r="A2" t="s">
        <v>9</v>
      </c>
      <c r="B2">
        <v>14</v>
      </c>
    </row>
    <row r="3" spans="1:2" x14ac:dyDescent="0.35">
      <c r="A3" t="s">
        <v>8</v>
      </c>
      <c r="B3">
        <v>3</v>
      </c>
    </row>
    <row r="4" spans="1:2" x14ac:dyDescent="0.35">
      <c r="A4" t="s">
        <v>10</v>
      </c>
      <c r="B4">
        <v>5</v>
      </c>
    </row>
    <row r="5" spans="1:2" x14ac:dyDescent="0.35">
      <c r="A5" t="s">
        <v>11</v>
      </c>
      <c r="B5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Sariego</dc:creator>
  <cp:lastModifiedBy>Evan Sariego</cp:lastModifiedBy>
  <dcterms:created xsi:type="dcterms:W3CDTF">2026-02-05T00:42:58Z</dcterms:created>
  <dcterms:modified xsi:type="dcterms:W3CDTF">2026-03-19T00:42:31Z</dcterms:modified>
</cp:coreProperties>
</file>